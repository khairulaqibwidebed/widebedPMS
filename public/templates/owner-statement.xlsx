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13_ncr:1_{5A6208FF-F0DC-41C1-B4CC-0D50DFFED40F}" xr6:coauthVersionLast="47" xr6:coauthVersionMax="47" xr10:uidLastSave="{00000000-0000-0000-0000-000000000000}"/>
  <bookViews>
    <workbookView xWindow="-108" yWindow="-108" windowWidth="23256" windowHeight="12456" xr2:uid="{0E0E57A8-477B-4F45-87E5-A39DAA32D364}"/>
  </bookViews>
  <sheets>
    <sheet name="D 0719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<sst xmlns="http://schemas.openxmlformats.org/spreadsheetml/2006/main" count="55" uniqueCount="35">
  <si>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 xml:space="preserve"> </t>
  </si>
  <si>
    <t>MONTHLY STATEMENT</t>
  </si>
  <si>
    <t>Property</t>
  </si>
  <si>
    <t>DM 0719</t>
  </si>
  <si>
    <t>Month</t>
  </si>
  <si>
    <t>Sep 2026</t>
  </si>
  <si>
    <t>Source</t>
  </si>
  <si>
    <t>Reference</t>
  </si>
  <si>
    <t xml:space="preserve">Check In </t>
  </si>
  <si>
    <t xml:space="preserve">Check Out </t>
  </si>
  <si>
    <t>Nights</t>
  </si>
  <si>
    <t>Currency</t>
  </si>
  <si>
    <t>Amount</t>
  </si>
  <si>
    <t>Total</t>
  </si>
  <si>
    <t>Expedia</t>
  </si>
  <si>
    <t>MYR</t>
  </si>
  <si>
    <t>Ctrip</t>
  </si>
  <si>
    <t>Booking.com</t>
  </si>
  <si>
    <t>Walk-in</t>
  </si>
  <si>
    <t>Traveloka</t>
  </si>
  <si>
    <t>Tiket.com</t>
  </si>
  <si>
    <t>Total Receivable</t>
  </si>
  <si>
    <t>Service Fees (20%)</t>
  </si>
  <si>
    <t>Utilities (20%)</t>
  </si>
  <si>
    <t>Owner's Entitlement</t>
  </si>
  <si>
    <t>Total Expenses</t>
  </si>
  <si>
    <t>Nett Receivable</t>
  </si>
  <si>
    <t>Nett Receivable (Rounding Adjust)</t>
  </si>
  <si>
    <t>Nett Receivable (Rounding)</t>
  </si>
  <si>
    <t>Remarks:</t>
  </si>
  <si>
    <t>Next booking :</t>
  </si>
  <si>
    <t>Additional note:</t>
  </si>
  <si>
    <t>Payment will be released based on date of departure</t>
  </si>
  <si>
    <t>(e.g : Check-in 01-02-19 : check-out 01-03-19, invoice will appear in the next rental statement (Mac 2019)</t>
  </si>
  <si>
    <t xml:space="preserve">Monthly Payout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</si>
</sst>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409]mmm/yy;@"/>
    <numFmt numFmtId="166" formatCode="dd\/mm\/yyyy"/>
    <numFmt numFmtId="167" formatCode="[$-14409]dd/mm/yyyy;@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u/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sz val="10.5"/>
      <color rgb="FFFF0000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.5"/>
      <color rgb="FFFF0000"/>
      <name val="Aptos Narrow"/>
      <family val="2"/>
      <scheme val="minor"/>
    </font>
    <font>
      <b/>
      <sz val="10.5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1F98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9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9" fontId="0" fillId="0" borderId="0" xfId="0" applyNumberFormat="1" applyAlignment="1">
      <alignment horizontal="left"/>
    </xf>
    <xf numFmtId="0" fontId="0" fillId="33" borderId="10" xfId="0" applyFill="1" applyBorder="1"/>
    <xf numFmtId="4" fontId="0" fillId="33" borderId="11" xfId="0" applyNumberFormat="1" applyFill="1" applyBorder="1" applyAlignment="1">
      <alignment horizontal="center"/>
    </xf>
    <xf numFmtId="4" fontId="0" fillId="33" borderId="10" xfId="0" applyNumberFormat="1" applyFill="1" applyBorder="1" applyAlignment="1">
      <alignment horizontal="center"/>
    </xf>
    <xf numFmtId="4" fontId="0" fillId="33" borderId="12" xfId="0" applyNumberForma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2" fontId="18" fillId="33" borderId="10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0" fontId="18" fillId="33" borderId="13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10" xfId="0" applyBorder="1"/>
    <xf numFmtId="4" fontId="0" fillId="0" borderId="1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0" fontId="0" fillId="34" borderId="10" xfId="0" applyFill="1" applyBorder="1"/>
    <xf numFmtId="4" fontId="0" fillId="34" borderId="11" xfId="0" applyNumberFormat="1" applyFill="1" applyBorder="1" applyAlignment="1">
      <alignment horizontal="center"/>
    </xf>
    <xf numFmtId="4" fontId="0" fillId="34" borderId="10" xfId="0" applyNumberFormat="1" applyFill="1" applyBorder="1" applyAlignment="1">
      <alignment horizontal="center"/>
    </xf>
    <xf numFmtId="4" fontId="0" fillId="34" borderId="12" xfId="0" applyNumberForma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6" fillId="0" borderId="15" xfId="0" applyFont="1" applyBorder="1" applyAlignment="1">
      <alignment horizontal="center"/>
    </xf>
    <xf numFmtId="4" fontId="16" fillId="0" borderId="16" xfId="0" applyNumberFormat="1" applyFont="1" applyBorder="1" applyAlignment="1">
      <alignment horizontal="center"/>
    </xf>
    <xf numFmtId="2" fontId="16" fillId="0" borderId="16" xfId="0" applyNumberFormat="1" applyFont="1" applyBorder="1" applyAlignment="1">
      <alignment horizontal="center"/>
    </xf>
    <xf numFmtId="4" fontId="16" fillId="0" borderId="16" xfId="43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/>
    </xf>
    <xf numFmtId="4" fontId="0" fillId="0" borderId="0" xfId="43" applyNumberFormat="1" applyFont="1" applyAlignment="1">
      <alignment horizontal="center" vertical="center"/>
    </xf>
    <xf numFmtId="4" fontId="16" fillId="0" borderId="18" xfId="43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164" fontId="0" fillId="0" borderId="0" xfId="0" applyNumberFormat="1"/>
    <xf numFmtId="4" fontId="20" fillId="0" borderId="0" xfId="43" applyNumberFormat="1" applyFont="1" applyAlignment="1">
      <alignment horizontal="center"/>
    </xf>
    <xf numFmtId="0" fontId="21" fillId="0" borderId="0" xfId="0" applyFont="1" applyAlignment="1">
      <alignment horizontal="left"/>
    </xf>
    <xf numFmtId="4" fontId="20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/>
    </xf>
    <xf numFmtId="164" fontId="0" fillId="0" borderId="0" xfId="43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164" fontId="0" fillId="0" borderId="19" xfId="43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16" fillId="35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4" fontId="0" fillId="0" borderId="10" xfId="43" applyFont="1" applyFill="1" applyBorder="1" applyAlignment="1">
      <alignment vertical="center"/>
    </xf>
    <xf numFmtId="164" fontId="0" fillId="35" borderId="10" xfId="43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36" borderId="10" xfId="0" applyFont="1" applyFill="1" applyBorder="1" applyAlignment="1">
      <alignment horizontal="center" vertical="center"/>
    </xf>
    <xf numFmtId="164" fontId="16" fillId="36" borderId="10" xfId="43" applyFont="1" applyFill="1" applyBorder="1" applyAlignment="1">
      <alignment vertical="center"/>
    </xf>
    <xf numFmtId="164" fontId="16" fillId="35" borderId="10" xfId="43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 wrapText="1"/>
    </xf>
    <xf numFmtId="14" fontId="16" fillId="36" borderId="1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left" vertical="center"/>
    </xf>
    <xf numFmtId="164" fontId="16" fillId="0" borderId="0" xfId="43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24" fillId="0" borderId="0" xfId="43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0" fillId="0" borderId="0" xfId="43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64" fontId="16" fillId="0" borderId="0" xfId="0" applyNumberFormat="1" applyFont="1" applyAlignment="1">
      <alignment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14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vertical="top"/>
    </xf>
    <xf numFmtId="49" fontId="26" fillId="0" borderId="0" xfId="0" quotePrefix="1" applyNumberFormat="1" applyFont="1"/>
    <xf numFmtId="0" fontId="27" fillId="0" borderId="20" xfId="0" applyFont="1" applyBorder="1" applyAlignment="1">
      <alignment horizontal="center"/>
    </xf>
    <xf numFmtId="14" fontId="27" fillId="0" borderId="20" xfId="0" applyNumberFormat="1" applyFont="1" applyBorder="1" applyAlignment="1">
      <alignment horizontal="center"/>
    </xf>
    <xf numFmtId="2" fontId="27" fillId="0" borderId="20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4" fontId="26" fillId="0" borderId="0" xfId="43" applyFont="1"/>
    <xf numFmtId="2" fontId="27" fillId="0" borderId="0" xfId="0" applyNumberFormat="1" applyFont="1" applyAlignment="1">
      <alignment horizontal="center"/>
    </xf>
    <xf numFmtId="1" fontId="26" fillId="0" borderId="21" xfId="0" applyNumberFormat="1" applyFont="1" applyBorder="1" applyAlignment="1">
      <alignment horizontal="center"/>
    </xf>
    <xf numFmtId="0" fontId="27" fillId="0" borderId="0" xfId="0" applyFont="1"/>
    <xf numFmtId="4" fontId="26" fillId="0" borderId="14" xfId="0" applyNumberFormat="1" applyFont="1" applyBorder="1" applyAlignment="1">
      <alignment horizontal="right"/>
    </xf>
    <xf numFmtId="4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center"/>
    </xf>
    <xf numFmtId="4" fontId="27" fillId="0" borderId="14" xfId="0" applyNumberFormat="1" applyFont="1" applyBorder="1" applyAlignment="1">
      <alignment horizontal="right"/>
    </xf>
    <xf numFmtId="4" fontId="27" fillId="0" borderId="20" xfId="0" applyNumberFormat="1" applyFont="1" applyBorder="1" applyAlignment="1">
      <alignment horizontal="right"/>
    </xf>
    <xf numFmtId="4" fontId="27" fillId="37" borderId="21" xfId="0" applyNumberFormat="1" applyFont="1" applyFill="1" applyBorder="1" applyAlignment="1">
      <alignment horizontal="right"/>
    </xf>
    <xf numFmtId="4" fontId="27" fillId="37" borderId="0" xfId="0" applyNumberFormat="1" applyFont="1" applyFill="1" applyAlignment="1">
      <alignment horizontal="right"/>
    </xf>
    <xf numFmtId="2" fontId="28" fillId="0" borderId="0" xfId="0" applyNumberFormat="1" applyFont="1" applyAlignment="1">
      <alignment horizontal="left"/>
    </xf>
    <xf numFmtId="14" fontId="27" fillId="0" borderId="22" xfId="0" applyNumberFormat="1" applyFont="1" applyBorder="1" applyAlignment="1">
      <alignment horizontal="center"/>
    </xf>
    <xf numFmtId="166" fontId="29" fillId="0" borderId="23" xfId="0" quotePrefix="1" applyNumberFormat="1" applyFont="1" applyBorder="1" applyAlignment="1">
      <alignment horizontal="center" vertical="top" wrapText="1"/>
    </xf>
    <xf numFmtId="0" fontId="30" fillId="0" borderId="0" xfId="0" applyFont="1" applyAlignment="1">
      <alignment horizontal="left"/>
    </xf>
    <xf numFmtId="0" fontId="27" fillId="36" borderId="20" xfId="0" applyFont="1" applyFill="1" applyBorder="1" applyAlignment="1">
      <alignment horizontal="left"/>
    </xf>
    <xf numFmtId="0" fontId="27" fillId="36" borderId="20" xfId="0" applyFont="1" applyFill="1" applyBorder="1" applyAlignment="1">
      <alignment horizontal="center"/>
    </xf>
    <xf numFmtId="165" fontId="27" fillId="0" borderId="10" xfId="0" applyNumberFormat="1" applyFont="1" applyBorder="1" applyAlignment="1">
      <alignment horizontal="center"/>
    </xf>
    <xf numFmtId="4" fontId="26" fillId="0" borderId="10" xfId="0" applyNumberFormat="1" applyFont="1" applyBorder="1" applyAlignment="1">
      <alignment horizontal="center"/>
    </xf>
    <xf numFmtId="16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 indent="2"/>
    </xf>
    <xf numFmtId="4" fontId="26" fillId="0" borderId="20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6" fillId="0" borderId="0" xfId="0" quotePrefix="1" applyFont="1"/>
    <xf numFmtId="0" fontId="26" fillId="0" borderId="2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indent="3"/>
    </xf>
    <xf numFmtId="4" fontId="31" fillId="0" borderId="0" xfId="0" applyNumberFormat="1" applyFont="1" applyAlignment="1">
      <alignment horizontal="right"/>
    </xf>
    <xf numFmtId="2" fontId="26" fillId="0" borderId="0" xfId="0" applyNumberFormat="1" applyFont="1" applyAlignment="1">
      <alignment horizontal="center" vertical="center"/>
    </xf>
    <xf numFmtId="14" fontId="26" fillId="0" borderId="0" xfId="0" quotePrefix="1" applyNumberFormat="1" applyFont="1" applyAlignment="1">
      <alignment horizontal="center"/>
    </xf>
    <xf numFmtId="4" fontId="26" fillId="0" borderId="0" xfId="0" applyNumberFormat="1" applyFont="1" applyAlignment="1">
      <alignment horizontal="center"/>
    </xf>
    <xf numFmtId="164" fontId="31" fillId="0" borderId="0" xfId="43" applyFont="1" applyFill="1"/>
    <xf numFmtId="14" fontId="26" fillId="0" borderId="0" xfId="0" applyNumberFormat="1" applyFont="1" applyAlignment="1">
      <alignment horizontal="left"/>
    </xf>
    <xf numFmtId="0" fontId="32" fillId="0" borderId="0" xfId="0" applyFont="1" applyAlignment="1">
      <alignment vertical="center"/>
    </xf>
    <xf numFmtId="4" fontId="27" fillId="0" borderId="0" xfId="0" applyNumberFormat="1" applyFont="1" applyAlignment="1">
      <alignment horizontal="right"/>
    </xf>
    <xf numFmtId="166" fontId="29" fillId="0" borderId="23" xfId="0" applyNumberFormat="1" applyFont="1" applyBorder="1" applyAlignment="1">
      <alignment horizontal="center" vertical="top" wrapText="1"/>
    </xf>
    <xf numFmtId="0" fontId="26" fillId="0" borderId="14" xfId="0" applyFont="1" applyBorder="1"/>
    <xf numFmtId="166" fontId="29" fillId="0" borderId="0" xfId="0" quotePrefix="1" applyNumberFormat="1" applyFont="1" applyAlignment="1">
      <alignment horizontal="center" vertical="top" wrapText="1"/>
    </xf>
    <xf numFmtId="166" fontId="29" fillId="0" borderId="0" xfId="0" applyNumberFormat="1" applyFont="1" applyAlignment="1">
      <alignment horizontal="center" vertical="top" wrapText="1"/>
    </xf>
    <xf numFmtId="4" fontId="26" fillId="0" borderId="14" xfId="0" applyNumberFormat="1" applyFont="1" applyBorder="1" applyAlignment="1">
      <alignment horizontal="center"/>
    </xf>
    <xf numFmtId="167" fontId="26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center"/>
    </xf>
    <xf numFmtId="0" fontId="33" fillId="0" borderId="0" xfId="0" applyFont="1"/>
    <xf numFmtId="4" fontId="27" fillId="37" borderId="21" xfId="0" applyNumberFormat="1" applyFont="1" applyFill="1" applyBorder="1"/>
    <xf numFmtId="0" fontId="27" fillId="0" borderId="20" xfId="0" applyFont="1" applyBorder="1" applyAlignment="1">
      <alignment horizontal="center" wrapText="1"/>
    </xf>
    <xf numFmtId="14" fontId="27" fillId="0" borderId="20" xfId="0" applyNumberFormat="1" applyFont="1" applyBorder="1" applyAlignment="1">
      <alignment horizontal="center" wrapText="1"/>
    </xf>
    <xf numFmtId="2" fontId="27" fillId="0" borderId="20" xfId="0" applyNumberFormat="1" applyFont="1" applyBorder="1" applyAlignment="1">
      <alignment horizontal="center" wrapText="1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left" indent="3"/>
    </xf>
    <xf numFmtId="0" fontId="28" fillId="0" borderId="0" xfId="0" applyFont="1" applyAlignment="1">
      <alignment horizontal="left"/>
    </xf>
    <xf numFmtId="164" fontId="0" fillId="0" borderId="0" xfId="1" applyFont="1"/>
    <xf numFmtId="164" fontId="16" fillId="0" borderId="0" xfId="1" applyFont="1"/>
    <xf numFmtId="164" fontId="0" fillId="38" borderId="0" xfId="1" applyFont="1" applyFill="1"/>
    <xf numFmtId="164" fontId="16" fillId="39" borderId="0" xfId="1" applyFont="1" applyFill="1"/>
    <xf numFmtId="0" fontId="0" fillId="0" borderId="21" xfId="0" applyBorder="1"/>
    <xf numFmtId="164" fontId="0" fillId="0" borderId="21" xfId="1" applyFont="1" applyBorder="1"/>
    <xf numFmtId="164" fontId="16" fillId="0" borderId="21" xfId="1" applyFont="1" applyBorder="1"/>
    <xf numFmtId="164" fontId="0" fillId="38" borderId="21" xfId="1" applyFont="1" applyFill="1" applyBorder="1"/>
    <xf numFmtId="164" fontId="16" fillId="39" borderId="21" xfId="1" applyFont="1" applyFill="1" applyBorder="1"/>
    <xf numFmtId="0" fontId="14" fillId="0" borderId="0" xfId="0" applyFont="1"/>
    <xf numFmtId="164" fontId="14" fillId="0" borderId="0" xfId="1" applyFont="1"/>
    <xf numFmtId="164" fontId="34" fillId="0" borderId="0" xfId="1" applyFont="1"/>
    <xf numFmtId="2" fontId="32" fillId="0" borderId="0" xfId="0" applyNumberFormat="1" applyFont="1" applyAlignment="1">
      <alignment horizontal="center"/>
    </xf>
    <xf numFmtId="0" fontId="32" fillId="0" borderId="0" xfId="0" applyFont="1"/>
    <xf numFmtId="0" fontId="35" fillId="0" borderId="0" xfId="0" applyFont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16" fillId="38" borderId="0" xfId="1" applyFont="1" applyFill="1"/>
    <xf numFmtId="1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4" fontId="0" fillId="0" borderId="21" xfId="0" applyNumberFormat="1" applyBorder="1"/>
    <xf numFmtId="164" fontId="16" fillId="38" borderId="21" xfId="1" applyFont="1" applyFill="1" applyBorder="1"/>
    <xf numFmtId="164" fontId="0" fillId="0" borderId="21" xfId="0" applyNumberFormat="1" applyBorder="1"/>
    <xf numFmtId="164" fontId="0" fillId="0" borderId="21" xfId="1" applyFont="1" applyBorder="1" applyAlignment="1">
      <alignment horizontal="center"/>
    </xf>
    <xf numFmtId="164" fontId="0" fillId="38" borderId="21" xfId="1" applyFont="1" applyFill="1" applyBorder="1" applyAlignment="1">
      <alignment horizontal="center"/>
    </xf>
    <xf numFmtId="164" fontId="16" fillId="39" borderId="21" xfId="1" applyFont="1" applyFill="1" applyBorder="1" applyAlignment="1">
      <alignment horizontal="center"/>
    </xf>
    <xf numFmtId="0" fontId="31" fillId="0" borderId="0" xfId="0" applyFont="1"/>
    <xf numFmtId="2" fontId="36" fillId="0" borderId="20" xfId="0" applyNumberFormat="1" applyFont="1" applyBorder="1" applyAlignment="1">
      <alignment horizontal="center"/>
    </xf>
    <xf numFmtId="164" fontId="31" fillId="0" borderId="0" xfId="43" applyFont="1"/>
    <xf numFmtId="2" fontId="31" fillId="0" borderId="0" xfId="0" applyNumberFormat="1" applyFont="1" applyAlignment="1">
      <alignment horizontal="center"/>
    </xf>
    <xf numFmtId="0" fontId="36" fillId="0" borderId="0" xfId="0" applyFont="1"/>
    <xf numFmtId="0" fontId="36" fillId="36" borderId="20" xfId="0" applyFont="1" applyFill="1" applyBorder="1" applyAlignment="1">
      <alignment horizontal="center"/>
    </xf>
    <xf numFmtId="165" fontId="36" fillId="0" borderId="10" xfId="0" applyNumberFormat="1" applyFont="1" applyBorder="1" applyAlignment="1">
      <alignment horizontal="center"/>
    </xf>
    <xf numFmtId="4" fontId="31" fillId="0" borderId="10" xfId="0" applyNumberFormat="1" applyFont="1" applyBorder="1" applyAlignment="1">
      <alignment horizontal="center"/>
    </xf>
    <xf numFmtId="164" fontId="31" fillId="0" borderId="0" xfId="0" applyNumberFormat="1" applyFont="1"/>
    <xf numFmtId="0" fontId="31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/>
    </xf>
    <xf numFmtId="0" fontId="31" fillId="0" borderId="0" xfId="0" applyFont="1" applyAlignment="1">
      <alignment vertical="center"/>
    </xf>
    <xf numFmtId="4" fontId="27" fillId="37" borderId="20" xfId="0" applyNumberFormat="1" applyFont="1" applyFill="1" applyBorder="1" applyAlignment="1">
      <alignment horizontal="right"/>
    </xf>
    <xf numFmtId="14" fontId="22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17" fontId="16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2" fillId="0" borderId="0" xfId="0" applyFont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369490C8-1646-4BEF-9CF4-25C8FC9330D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7B6A-6BF3-412E-9400-39CB1D1D3D48}">
  <sheetPr>
    <pageSetUpPr fitToPage="1"/>
  </sheetPr>
  <dimension ref="A5:Q48"/>
  <sheetViews>
    <sheetView view="pageLayout" zoomScale="70" zoomScaleNormal="100" zoomScaleSheetLayoutView="70" zoomScalePageLayoutView="70" workbookViewId="0">
      <selection activeCell="H12" sqref="H12"/>
    </sheetView>
  </sheetViews>
  <sheetFormatPr defaultColWidth="8.6640625" defaultRowHeight="14.4" x14ac:dyDescent="0.3"/>
  <cols>
    <col min="1" max="1" width="11.88671875" style="84" customWidth="1"/>
    <col min="2" max="3" width="11.109375" style="85" customWidth="1"/>
    <col min="4" max="5" width="11.109375" style="86" customWidth="1"/>
    <col min="6" max="6" width="11.109375" style="84" customWidth="1"/>
    <col min="7" max="7" width="11.109375" style="171" customWidth="1"/>
    <col min="8" max="8" width="12.109375" style="87" customWidth="1"/>
    <col min="9" max="16384" width="8.6640625" style="85"/>
  </cols>
  <sheetData>
    <row r="5" spans="1:8" x14ac:dyDescent="0.3">
      <c r="B5" s="85" t="s">
        <v>0</v>
      </c>
    </row>
    <row r="7" spans="1:8" ht="21" x14ac:dyDescent="0.4">
      <c r="A7" s="185" t="s">
        <v>1</v>
      </c>
      <c r="B7" s="185"/>
      <c r="C7" s="185"/>
      <c r="D7" s="185"/>
      <c r="E7" s="185"/>
      <c r="F7" s="185"/>
      <c r="G7" s="185"/>
      <c r="H7" s="185"/>
    </row>
    <row r="8" spans="1:8" x14ac:dyDescent="0.3">
      <c r="F8" s="85"/>
    </row>
    <row r="9" spans="1:8" x14ac:dyDescent="0.3">
      <c r="A9" s="88" t="s">
        <v>2</v>
      </c>
      <c r="B9" s="89" t="s">
        <v>3</v>
      </c>
      <c r="F9" s="85"/>
    </row>
    <row r="10" spans="1:8" x14ac:dyDescent="0.3">
      <c r="A10" s="88" t="s">
        <v>4</v>
      </c>
      <c r="B10" s="90" t="s">
        <v>5</v>
      </c>
      <c r="F10" s="85"/>
    </row>
    <row r="12" spans="1:8" x14ac:dyDescent="0.3">
      <c r="A12" s="91" t="s">
        <v>6</v>
      </c>
      <c r="B12" s="91" t="s">
        <v>7</v>
      </c>
      <c r="C12" s="92" t="s">
        <v>8</v>
      </c>
      <c r="D12" s="92" t="s">
        <v>9</v>
      </c>
      <c r="E12" s="91" t="s">
        <v>10</v>
      </c>
      <c r="F12" s="91" t="s">
        <v>11</v>
      </c>
      <c r="G12" s="172" t="s">
        <v>12</v>
      </c>
      <c r="H12" s="93" t="s">
        <v>13</v>
      </c>
    </row>
    <row r="13" spans="1:8" x14ac:dyDescent="0.3">
      <c r="A13" t="s">
        <v>14</v>
      </c>
      <c r="B13"/>
      <c r="C13" s="94">
        <v>46265</v>
      </c>
      <c r="D13" s="94">
        <v>46266</v>
      </c>
      <c r="E13" s="4">
        <v>1</v>
      </c>
      <c r="F13" s="84" t="s">
        <v>15</v>
      </c>
      <c r="G13" s="173">
        <v>68.607108433734936</v>
      </c>
      <c r="H13" s="96"/>
    </row>
    <row r="14" spans="1:8" x14ac:dyDescent="0.3">
      <c r="A14" t="s">
        <v>16</v>
      </c>
      <c r="B14"/>
      <c r="C14" s="94">
        <v>46268</v>
      </c>
      <c r="D14" s="94">
        <v>46269</v>
      </c>
      <c r="E14" s="4">
        <v>1</v>
      </c>
      <c r="F14" s="84" t="s">
        <v>15</v>
      </c>
      <c r="G14" s="173">
        <v>112.68337690631807</v>
      </c>
      <c r="H14" s="96"/>
    </row>
    <row r="15" spans="1:8" x14ac:dyDescent="0.3">
      <c r="A15" t="s">
        <v>17</v>
      </c>
      <c r="B15"/>
      <c r="C15" s="94">
        <v>46269</v>
      </c>
      <c r="D15" s="94">
        <v>46271</v>
      </c>
      <c r="E15" s="4">
        <v>2</v>
      </c>
      <c r="F15" s="84" t="s">
        <v>15</v>
      </c>
      <c r="G15" s="173">
        <v>162.78</v>
      </c>
      <c r="H15" s="96"/>
    </row>
    <row r="16" spans="1:8" x14ac:dyDescent="0.3">
      <c r="A16" t="s">
        <v>18</v>
      </c>
      <c r="B16"/>
      <c r="C16" s="94">
        <v>46271</v>
      </c>
      <c r="D16" s="94">
        <v>46272</v>
      </c>
      <c r="E16" s="4">
        <v>1</v>
      </c>
      <c r="F16" s="84" t="s">
        <v>15</v>
      </c>
      <c r="G16" s="173">
        <v>111.11</v>
      </c>
      <c r="H16" s="96"/>
    </row>
    <row r="17" spans="1:17" x14ac:dyDescent="0.3">
      <c r="A17" t="s">
        <v>16</v>
      </c>
      <c r="B17"/>
      <c r="C17" s="94">
        <v>46273</v>
      </c>
      <c r="D17" s="94">
        <v>46274</v>
      </c>
      <c r="E17" s="4">
        <v>1</v>
      </c>
      <c r="F17" s="84" t="s">
        <v>15</v>
      </c>
      <c r="G17" s="173">
        <v>112.68337690631807</v>
      </c>
      <c r="H17" s="96"/>
    </row>
    <row r="18" spans="1:17" x14ac:dyDescent="0.3">
      <c r="A18" t="s">
        <v>19</v>
      </c>
      <c r="B18"/>
      <c r="C18" s="94">
        <v>46276</v>
      </c>
      <c r="D18" s="94">
        <v>46277</v>
      </c>
      <c r="E18" s="4">
        <v>1</v>
      </c>
      <c r="F18" s="84" t="s">
        <v>15</v>
      </c>
      <c r="G18" s="173">
        <v>70.609259259259247</v>
      </c>
      <c r="H18" s="96"/>
    </row>
    <row r="19" spans="1:17" x14ac:dyDescent="0.3">
      <c r="A19" t="s">
        <v>16</v>
      </c>
      <c r="B19"/>
      <c r="C19" s="94">
        <v>46277</v>
      </c>
      <c r="D19" s="94">
        <v>46278</v>
      </c>
      <c r="E19" s="4">
        <v>1</v>
      </c>
      <c r="F19" s="84" t="s">
        <v>15</v>
      </c>
      <c r="G19" s="173">
        <v>96.72694989106752</v>
      </c>
      <c r="H19" s="96"/>
    </row>
    <row r="20" spans="1:17" x14ac:dyDescent="0.3">
      <c r="A20" t="s">
        <v>20</v>
      </c>
      <c r="B20"/>
      <c r="C20" s="94">
        <v>46282</v>
      </c>
      <c r="D20" s="94">
        <v>46287</v>
      </c>
      <c r="E20" s="4">
        <v>5</v>
      </c>
      <c r="F20" s="84" t="s">
        <v>15</v>
      </c>
      <c r="G20" s="173">
        <v>481.78893351182501</v>
      </c>
      <c r="H20" s="96"/>
    </row>
    <row r="21" spans="1:17" x14ac:dyDescent="0.3">
      <c r="A21" t="s">
        <v>17</v>
      </c>
      <c r="B21"/>
      <c r="C21" s="94">
        <v>46290</v>
      </c>
      <c r="D21" s="94">
        <v>46291</v>
      </c>
      <c r="E21" s="4">
        <v>1</v>
      </c>
      <c r="F21" s="84" t="s">
        <v>15</v>
      </c>
      <c r="G21" s="173">
        <v>94.53</v>
      </c>
      <c r="H21" s="96"/>
    </row>
    <row r="22" spans="1:17" x14ac:dyDescent="0.3">
      <c r="A22" t="s">
        <v>17</v>
      </c>
      <c r="B22"/>
      <c r="C22" s="94">
        <v>46291</v>
      </c>
      <c r="D22" s="94">
        <v>46292</v>
      </c>
      <c r="E22" s="4">
        <v>1</v>
      </c>
      <c r="F22" s="84" t="s">
        <v>15</v>
      </c>
      <c r="G22" s="173">
        <v>94.53</v>
      </c>
      <c r="H22" s="96"/>
    </row>
    <row r="23" spans="1:17" x14ac:dyDescent="0.3">
      <c r="A23" t="s">
        <v>19</v>
      </c>
      <c r="B23"/>
      <c r="C23" s="94">
        <v>46292</v>
      </c>
      <c r="D23" s="94">
        <v>46293</v>
      </c>
      <c r="E23" s="4">
        <v>1</v>
      </c>
      <c r="F23" s="84" t="s">
        <v>15</v>
      </c>
      <c r="G23" s="173">
        <v>98.07703703703703</v>
      </c>
      <c r="H23" s="96"/>
    </row>
    <row r="24" spans="1:17" x14ac:dyDescent="0.3">
      <c r="A24" t="s">
        <v>14</v>
      </c>
      <c r="B24"/>
      <c r="C24" s="94">
        <v>46293</v>
      </c>
      <c r="D24" s="94">
        <v>46294</v>
      </c>
      <c r="E24" s="4">
        <v>1</v>
      </c>
      <c r="F24" s="84" t="s">
        <v>15</v>
      </c>
      <c r="G24" s="173">
        <v>115.08289156626505</v>
      </c>
      <c r="H24" s="96"/>
    </row>
    <row r="25" spans="1:17" ht="14.4" customHeight="1" x14ac:dyDescent="0.3">
      <c r="A25" s="86"/>
      <c r="B25" s="84"/>
      <c r="E25" s="97">
        <f>SUM(E13:E24)</f>
        <v>17</v>
      </c>
      <c r="G25" s="174"/>
    </row>
    <row r="26" spans="1:17" ht="14.4" customHeight="1" x14ac:dyDescent="0.3">
      <c r="A26" s="86"/>
      <c r="B26" s="84"/>
      <c r="E26" s="98" t="s">
        <v>21</v>
      </c>
      <c r="H26" s="99">
        <f>SUM(G13:G24)</f>
        <v>1619.2089335118249</v>
      </c>
      <c r="N26" s="84"/>
      <c r="O26" s="86"/>
      <c r="P26" s="86"/>
      <c r="Q26" s="84"/>
    </row>
    <row r="27" spans="1:17" ht="14.4" customHeight="1" x14ac:dyDescent="0.3">
      <c r="A27" s="86"/>
      <c r="B27" s="84"/>
      <c r="E27" s="85" t="s">
        <v>22</v>
      </c>
      <c r="H27" s="100">
        <f>-H26*0.2</f>
        <v>-323.84178670236497</v>
      </c>
      <c r="N27" s="84"/>
      <c r="O27" s="86"/>
      <c r="P27" s="86"/>
      <c r="Q27" s="84"/>
    </row>
    <row r="28" spans="1:17" ht="14.4" customHeight="1" x14ac:dyDescent="0.3">
      <c r="A28" s="86"/>
      <c r="B28" s="84"/>
      <c r="E28" s="85" t="s">
        <v>23</v>
      </c>
      <c r="H28" s="100">
        <f>H27</f>
        <v>-323.84178670236497</v>
      </c>
      <c r="N28" s="84"/>
      <c r="O28" s="86"/>
      <c r="P28" s="86"/>
      <c r="Q28" s="84"/>
    </row>
    <row r="29" spans="1:17" ht="14.4" customHeight="1" x14ac:dyDescent="0.3">
      <c r="A29" s="86"/>
      <c r="B29" s="84" t="s">
        <v>0</v>
      </c>
      <c r="E29" s="98" t="s">
        <v>24</v>
      </c>
      <c r="F29" s="101"/>
      <c r="G29" s="175"/>
      <c r="H29" s="102">
        <f>SUM(H26:H28)</f>
        <v>971.52536010709491</v>
      </c>
      <c r="N29" s="84"/>
      <c r="O29" s="86"/>
      <c r="P29" s="86"/>
      <c r="Q29" s="84"/>
    </row>
    <row r="30" spans="1:17" ht="14.4" customHeight="1" x14ac:dyDescent="0.3">
      <c r="A30" s="86"/>
      <c r="B30" s="84"/>
      <c r="E30" s="98" t="s">
        <v>25</v>
      </c>
      <c r="F30" s="101"/>
      <c r="G30" s="175"/>
      <c r="H30" s="103">
        <v>0</v>
      </c>
      <c r="N30" s="84"/>
      <c r="O30" s="86"/>
      <c r="P30" s="86"/>
      <c r="Q30" s="84"/>
    </row>
    <row r="31" spans="1:17" ht="14.4" customHeight="1" x14ac:dyDescent="0.3">
      <c r="B31" s="84"/>
      <c r="C31" s="84"/>
      <c r="E31" s="98" t="s">
        <v>26</v>
      </c>
      <c r="H31" s="104">
        <f>SUM(H29:H30)</f>
        <v>971.52536010709491</v>
      </c>
      <c r="I31" s="87"/>
      <c r="J31" s="87"/>
    </row>
    <row r="32" spans="1:17" ht="14.4" customHeight="1" x14ac:dyDescent="0.3">
      <c r="A32" s="88"/>
      <c r="B32" s="88"/>
      <c r="C32" s="84"/>
      <c r="E32" s="98" t="s">
        <v>27</v>
      </c>
      <c r="F32" s="85"/>
      <c r="H32" s="105">
        <v>0.02</v>
      </c>
      <c r="I32" s="84"/>
      <c r="J32" s="84"/>
      <c r="K32" s="86"/>
      <c r="L32" s="84"/>
    </row>
    <row r="33" spans="1:12" ht="14.4" customHeight="1" x14ac:dyDescent="0.3">
      <c r="A33" s="88"/>
      <c r="B33" s="88"/>
      <c r="C33" s="84"/>
      <c r="E33" s="98" t="s">
        <v>28</v>
      </c>
      <c r="F33" s="85"/>
      <c r="H33" s="104">
        <f>SUM(H31:H32)</f>
        <v>971.54536010709489</v>
      </c>
      <c r="I33" s="84"/>
      <c r="J33" s="84"/>
      <c r="K33" s="86"/>
      <c r="L33" s="84"/>
    </row>
    <row r="34" spans="1:12" ht="14.4" customHeight="1" x14ac:dyDescent="0.3">
      <c r="E34" s="85"/>
      <c r="F34" s="85"/>
      <c r="H34" s="85"/>
      <c r="I34" s="86"/>
      <c r="J34" s="86"/>
      <c r="K34" s="84"/>
    </row>
    <row r="35" spans="1:12" ht="14.4" customHeight="1" thickBot="1" x14ac:dyDescent="0.35">
      <c r="A35" s="106" t="s">
        <v>29</v>
      </c>
      <c r="D35" s="107" t="s">
        <v>8</v>
      </c>
      <c r="E35" s="107" t="s">
        <v>9</v>
      </c>
      <c r="F35" s="85"/>
      <c r="H35" s="85"/>
    </row>
    <row r="36" spans="1:12" ht="14.4" customHeight="1" x14ac:dyDescent="0.3">
      <c r="A36" s="88" t="s">
        <v>30</v>
      </c>
      <c r="D36" s="108">
        <v>46297</v>
      </c>
      <c r="E36" s="108">
        <v>46299</v>
      </c>
    </row>
    <row r="38" spans="1:12" x14ac:dyDescent="0.3">
      <c r="A38" s="109" t="s">
        <v>31</v>
      </c>
      <c r="D38" s="85"/>
      <c r="E38" s="85"/>
      <c r="F38" s="85"/>
    </row>
    <row r="39" spans="1:12" x14ac:dyDescent="0.3">
      <c r="A39" s="88" t="s">
        <v>32</v>
      </c>
      <c r="D39" s="85"/>
      <c r="E39" s="85"/>
      <c r="F39" s="85"/>
    </row>
    <row r="40" spans="1:12" x14ac:dyDescent="0.3">
      <c r="A40" s="88" t="s">
        <v>33</v>
      </c>
      <c r="D40" s="85"/>
      <c r="E40" s="85"/>
      <c r="F40" s="85"/>
    </row>
    <row r="41" spans="1:12" x14ac:dyDescent="0.3">
      <c r="D41" s="85"/>
      <c r="E41" s="85"/>
      <c r="F41" s="85"/>
    </row>
    <row r="42" spans="1:12" s="87" customFormat="1" x14ac:dyDescent="0.3">
      <c r="A42" s="84"/>
      <c r="B42" s="110" t="s">
        <v>34</v>
      </c>
      <c r="C42" s="111"/>
      <c r="D42" s="111"/>
      <c r="E42" s="111"/>
      <c r="F42" s="111"/>
      <c r="G42" s="176"/>
      <c r="I42" s="85"/>
      <c r="J42" s="85"/>
      <c r="K42" s="85"/>
    </row>
    <row r="43" spans="1:12" s="87" customFormat="1" x14ac:dyDescent="0.3">
      <c r="A43" s="84"/>
      <c r="B43" s="112">
        <v>46023</v>
      </c>
      <c r="C43" s="112">
        <v>46054</v>
      </c>
      <c r="D43" s="112">
        <v>46082</v>
      </c>
      <c r="E43" s="112">
        <v>46113</v>
      </c>
      <c r="F43" s="112">
        <v>46143</v>
      </c>
      <c r="G43" s="177">
        <v>46174</v>
      </c>
      <c r="I43" s="85"/>
      <c r="J43" s="85"/>
      <c r="K43" s="85"/>
    </row>
    <row r="44" spans="1:12" s="87" customFormat="1" x14ac:dyDescent="0.3">
      <c r="A44" s="84"/>
      <c r="B44" s="113">
        <v>1525.25</v>
      </c>
      <c r="C44" s="113">
        <v>1135.497086845118</v>
      </c>
      <c r="D44" s="113">
        <v>1290.1500000000001</v>
      </c>
      <c r="E44" s="113">
        <v>871.85</v>
      </c>
      <c r="F44" s="113">
        <v>-50.75</v>
      </c>
      <c r="G44" s="178">
        <f>807.25-50.75</f>
        <v>756.5</v>
      </c>
      <c r="I44" s="85"/>
      <c r="J44" s="85"/>
      <c r="K44" s="85"/>
    </row>
    <row r="45" spans="1:12" s="87" customFormat="1" x14ac:dyDescent="0.3">
      <c r="A45" s="84"/>
      <c r="B45" s="112">
        <v>46204</v>
      </c>
      <c r="C45" s="112">
        <v>46235</v>
      </c>
      <c r="D45" s="112">
        <v>46266</v>
      </c>
      <c r="E45" s="112">
        <v>46296</v>
      </c>
      <c r="F45" s="112">
        <v>46327</v>
      </c>
      <c r="G45" s="177">
        <v>46357</v>
      </c>
      <c r="I45" s="85"/>
      <c r="J45" s="85"/>
      <c r="K45" s="85"/>
    </row>
    <row r="46" spans="1:12" s="87" customFormat="1" x14ac:dyDescent="0.3">
      <c r="A46" s="84"/>
      <c r="B46" s="113">
        <v>984</v>
      </c>
      <c r="C46" s="113">
        <v>1670.9</v>
      </c>
      <c r="D46" s="113">
        <v>971.55</v>
      </c>
      <c r="E46" s="113"/>
      <c r="F46" s="113"/>
      <c r="G46" s="178"/>
      <c r="I46" s="85"/>
      <c r="J46" s="85"/>
      <c r="K46" s="85"/>
    </row>
    <row r="48" spans="1:12" s="87" customFormat="1" x14ac:dyDescent="0.3">
      <c r="A48" s="88"/>
      <c r="B48" s="85"/>
      <c r="C48" s="85"/>
      <c r="D48" s="86"/>
      <c r="E48" s="86"/>
      <c r="F48" s="84"/>
      <c r="G48" s="171"/>
      <c r="I48" s="85"/>
      <c r="J48" s="85"/>
      <c r="K48" s="85"/>
    </row>
  </sheetData>
  <mergeCells count="1">
    <mergeCell ref="A7:H7"/>
  </mergeCells>
  <pageMargins left="0.7" right="0.7" top="0.75" bottom="0.75" header="0.3" footer="0.3"/>
  <pageSetup paperSize="9" scale="96" orientation="portrait" r:id="rId1"/>
  <headerFooter>
    <oddHeader>&amp;C&amp;"-,Bold"&amp;16 1 World Short Stay Sdn. Bhd. (955057-H)
&amp;"-,Regular"&amp;11(Wholly-Owned Subsidiary of Widebed Sdn. Bhd.)
Unit 01-01, First Floor, Micasa Shoppes,
368-A, Jalan Tun Razak
50400 Kuala Lumpur
Tel : 03-2181 3455
Email : account@widebed.com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0719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60122</dc:creator>
  <cp:lastModifiedBy>KHAIRUL AQIB BIN JAZRUL FUAD</cp:lastModifiedBy>
  <cp:lastPrinted>2026-10-27T08:53:15Z</cp:lastPrinted>
  <dcterms:created xsi:type="dcterms:W3CDTF">2026-10-05T08:40:48Z</dcterms:created>
  <dcterms:modified xsi:type="dcterms:W3CDTF">2026-10-27T08:54:04Z</dcterms:modified>
</cp:coreProperties>
</file>